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5_Testcase" sheetId="1" state="visible" r:id="rId3"/>
    <sheet name="Hướng dẫ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<sst xmlns="http://schemas.openxmlformats.org/spreadsheetml/2006/main" count="337" uniqueCount="277">
  <si>
    <t xml:space="preserve">Dự án: Xây dựng Hệ thống Đặt Lịch Họp – Module: Nhân viên (Employee) — Bản demo giao diện tĩnh (HTML/CSS/JS)</t>
  </si>
  <si>
    <t xml:space="preserve">Nhóm 4 · HK253</t>
  </si>
  <si>
    <t xml:space="preserve">Phạm vi kiểm thử:</t>
  </si>
  <si>
    <t xml:space="preserve">Toàn bộ chức năng phía client trong index.html / styles.css / script.js: Tạo &amp; sửa lịch họp, hủy lịch họp, phản hồi lời mời, tìm kiếm, thông báo, tài khoản (đổi thông tin, đổi mật khẩu, danh sách nhân viên), các chế độ xem Lịch (Ngày/Tuần/Tháng).</t>
  </si>
  <si>
    <t xml:space="preserve">Người viết Testcase:</t>
  </si>
  <si>
    <t xml:space="preserve">Cả nhóm</t>
  </si>
  <si>
    <t xml:space="preserve">Ngày viết:</t>
  </si>
  <si>
    <t xml:space="preserve">07/07/2026 – 13/07/2026 (Tuần 3)</t>
  </si>
  <si>
    <t xml:space="preserve">Môi trường test:</t>
  </si>
  <si>
    <t xml:space="preserve">Local – mở trực tiếp index.html trên trình duyệt (không có backend/API thật). Dữ liệu mẫu nằm trong biến JS (MEETINGS, NOTIFS, ROOMS). Danh sách nhân viên (people) được lưu/đọc qua localStorage, khoá 'xyz_lichhop_people'. Ngày hệ thống mô phỏng (TODAY) = Thứ 2, 13/07/2026.</t>
  </si>
  <si>
    <t xml:space="preserve">STT</t>
  </si>
  <si>
    <t xml:space="preserve">Mã TC</t>
  </si>
  <si>
    <t xml:space="preserve">Chức năng / Màn hình</t>
  </si>
  <si>
    <t xml:space="preserve">Mô tả Test Case</t>
  </si>
  <si>
    <t xml:space="preserve">Điều kiện tiên quyết</t>
  </si>
  <si>
    <t xml:space="preserve">Bước thực hiện</t>
  </si>
  <si>
    <t xml:space="preserve">Dữ liệu đầu vào</t>
  </si>
  <si>
    <t xml:space="preserve">Kết quả mong đợi</t>
  </si>
  <si>
    <t xml:space="preserve">Kết quả thực tế</t>
  </si>
  <si>
    <t xml:space="preserve">Trạng thái
(Pass/Fail)</t>
  </si>
  <si>
    <t xml:space="preserve">Người thực hiện</t>
  </si>
  <si>
    <t xml:space="preserve">Ghi chú</t>
  </si>
  <si>
    <t xml:space="preserve">A. TẠO, SỬA, HỦY LỊCH HỌP — form Tạo lịch họp mới (openMeetingForm / submitMeetingForm)</t>
  </si>
  <si>
    <t xml:space="preserve">TC-A01</t>
  </si>
  <si>
    <t xml:space="preserve">Tạo lịch họp</t>
  </si>
  <si>
    <t xml:space="preserve">Tạo cuộc họp hợp lệ, đầy đủ thông tin, không mời ai</t>
  </si>
  <si>
    <t xml:space="preserve">Phòng chọn đang trống trong khung giờ chọn</t>
  </si>
  <si>
    <t xml:space="preserve">1. Bấm nút '+' hoặc 'Tạo lịch họp mới'
2. Điền Tiêu đề, Ngày, Giờ bắt đầu/kết thúc hợp lệ (trong tương lai)
3. Chọn 1 phòng đang trống
4. Không tick người mời
5. Bấm 'Xác nhận tạo'</t>
  </si>
  <si>
    <t xml:space="preserve">title='Họp demo', room='Phòng A', start/end tương lai +1h/+1h30, invitees=[]</t>
  </si>
  <si>
    <t xml:space="preserve">Modal đóng, toast 'Đã tạo lịch họp mới.'. Cuộc họp mới xuất hiện ở Lịch/Ngày đúng ngày vừa chọn, myStatus='organizer'.</t>
  </si>
  <si>
    <t xml:space="preserve">TC-A02</t>
  </si>
  <si>
    <t xml:space="preserve">Tạo cuộc họp hợp lệ có mời người đang rảnh (không trùng lịch)</t>
  </si>
  <si>
    <t xml:space="preserve">Người được mời không có cuộc họp nào trùng khung giờ đã chọn</t>
  </si>
  <si>
    <t xml:space="preserve">1. Điền đầy đủ thông tin hợp lệ
2. Tick chọn 1–2 người trong danh sách 'Mời người tham gia'
3. Bấm 'Xác nhận tạo'</t>
  </si>
  <si>
    <t xml:space="preserve">invitees=[Trần Thị Bích, Lê Văn Chiến] (đều rảnh khung giờ này)</t>
  </si>
  <si>
    <t xml:space="preserve">Tạo thành công, toast 'Đã tạo lịch họp mới.'. Trong chi tiết cuộc họp, những người được mời có trạng thái 'Chờ phản hồi' (pending).</t>
  </si>
  <si>
    <t xml:space="preserve">TC-A03</t>
  </si>
  <si>
    <t xml:space="preserve">Bỏ trống Tiêu đề</t>
  </si>
  <si>
    <t xml:space="preserve">-</t>
  </si>
  <si>
    <t xml:space="preserve">1. Để trống ô Tiêu đề
2. Điền các trường còn lại hợp lệ
3. Bấm 'Xác nhận tạo'</t>
  </si>
  <si>
    <t xml:space="preserve">title=''</t>
  </si>
  <si>
    <t xml:space="preserve">Không tạo được cuộc họp. Hộp cảnh báo trong modal hiện: 'Thiếu thông tin — Vui lòng điền đầy đủ Tiêu đề, Ngày, Giờ bắt đầu và Giờ kết thúc.'</t>
  </si>
  <si>
    <t xml:space="preserve">TC-A04</t>
  </si>
  <si>
    <t xml:space="preserve">Nhập Tiêu đề đúng 200 ký tự (biên hợp lệ tối đa cho phép của ô input)</t>
  </si>
  <si>
    <t xml:space="preserve">1. Nhập Tiêu đề đúng 200 ký tự (giới hạn maxlength của ô nhập)
2. Điền hợp lệ các trường còn lại
3. Bấm 'Xác nhận tạo'</t>
  </si>
  <si>
    <t xml:space="preserve">title = chuỗi 200 ký tự</t>
  </si>
  <si>
    <t xml:space="preserve">Tạo thành công (ô Tiêu đề chặn nhập quá 200 ký tự bằng thuộc tính maxlength=200 nên không thể vượt quá; 200 ký tự vẫn được chấp nhận).</t>
  </si>
  <si>
    <t xml:space="preserve">TC-A05</t>
  </si>
  <si>
    <t xml:space="preserve">Giờ kết thúc bằng hoặc trước Giờ bắt đầu</t>
  </si>
  <si>
    <t xml:space="preserve">1. Chọn Giờ bắt đầu = Giờ kết thúc (hoặc Giờ kết thúc sớm hơn)
2. Bấm 'Xác nhận tạo'</t>
  </si>
  <si>
    <t xml:space="preserve">start=09:00, end=09:00 (hoặc end=08:30)</t>
  </si>
  <si>
    <t xml:space="preserve">Không tạo được. Hộp cảnh báo: 'Thời gian không hợp lệ — Giờ kết thúc phải sau giờ bắt đầu.'</t>
  </si>
  <si>
    <t xml:space="preserve">TC-A06</t>
  </si>
  <si>
    <t xml:space="preserve">Giờ kết thúc chỉ sau Giờ bắt đầu vài phút (không có ràng buộc thời lượng tối thiểu trong code hiện tại)</t>
  </si>
  <si>
    <t xml:space="preserve">1. Chọn start=09:00, end=09:05
2. Bấm 'Xác nhận tạo'</t>
  </si>
  <si>
    <t xml:space="preserve">end - start = 5 phút</t>
  </si>
  <si>
    <t xml:space="preserve">Tạo thành công — script.js không kiểm tra thời lượng tối thiểu giữa giờ bắt đầu/kết thúc, chỉ yêu cầu end &gt; start.</t>
  </si>
  <si>
    <t xml:space="preserve">TC-A07</t>
  </si>
  <si>
    <t xml:space="preserve">Chọn thời gian bắt đầu trong quá khứ</t>
  </si>
  <si>
    <t xml:space="preserve">1. Chọn Ngày/Giờ bắt đầu đã qua so với thời điểm hiện tại của trình duyệt
2. Bấm 'Xác nhận tạo'</t>
  </si>
  <si>
    <t xml:space="preserve">start = thời điểm đã qua</t>
  </si>
  <si>
    <t xml:space="preserve">Không tạo được. Hộp cảnh báo: 'Thời gian không hợp lệ — Không thể đặt lịch họp trong quá khứ.'</t>
  </si>
  <si>
    <t xml:space="preserve">TC-A08</t>
  </si>
  <si>
    <t xml:space="preserve">Chọn phòng đang có cuộc họp khác trùng hoàn toàn khung giờ</t>
  </si>
  <si>
    <t xml:space="preserve">Phòng đã có 1 cuộc họp ở đúng khung giờ chọn (VD: Phòng A, 09:00–10:00 ngày hôm nay)</t>
  </si>
  <si>
    <t xml:space="preserve">1. Chọn cùng phòng, cùng khung giờ với cuộc họp có sẵn
2. Bấm 'Xác nhận tạo'</t>
  </si>
  <si>
    <t xml:space="preserve">room='Phòng A', start=09:00, end=10:00 (trùng 'Họp Sprint Planning')</t>
  </si>
  <si>
    <t xml:space="preserve">KHÔNG tạo được cuộc họp (bị chặn hẳn, không phải chỉ cảnh báo). Hộp cảnh báo: 'Phòng đã được sử dụng — Phòng A đang bận trong khoảng thời gian này bởi cuộc họp "Họp Sprint Planning" (09:00–10:00).'</t>
  </si>
  <si>
    <t xml:space="preserve">TC-A09</t>
  </si>
  <si>
    <t xml:space="preserve">Chọn phòng trùng một phần khung giờ (overlap giao nhau)</t>
  </si>
  <si>
    <t xml:space="preserve">Phòng có cuộc họp 09:00–10:00</t>
  </si>
  <si>
    <t xml:space="preserve">1. Chọn cùng phòng, khung giờ 09:30–10:30
2. Bấm 'Xác nhận tạo'</t>
  </si>
  <si>
    <t xml:space="preserve">start=09:30, end=10:30 (giao với 09:00–10:00)</t>
  </si>
  <si>
    <t xml:space="preserve">KHÔNG tạo được, cùng thông báo lỗi trùng phòng như TC-A08 (overlap một phần vẫn tính là trùng, theo logic mm.start &lt; e &amp;&amp; s &lt; mm.end).</t>
  </si>
  <si>
    <t xml:space="preserve">TC-A10</t>
  </si>
  <si>
    <t xml:space="preserve">Chọn phòng và khung giờ hoàn toàn trống (không trùng)</t>
  </si>
  <si>
    <t xml:space="preserve">1. Chọn phòng, khung giờ khác với mọi cuộc họp hiện có của phòng đó
2. Bấm 'Xác nhận tạo'</t>
  </si>
  <si>
    <t xml:space="preserve">room/start/end không giao với lịch hiện có</t>
  </si>
  <si>
    <t xml:space="preserve">Tạo thành công, toast 'Đã tạo lịch họp mới.'</t>
  </si>
  <si>
    <t xml:space="preserve">TC-A11</t>
  </si>
  <si>
    <t xml:space="preserve">Mời người tham gia đang bận ở cuộc họp khác cùng khung giờ (chưa từ chối cuộc họp đó)</t>
  </si>
  <si>
    <t xml:space="preserve">Người được mời đã có lịch (là organizer hoặc participant với trạng thái khác 'declined') trùng khung giờ mới</t>
  </si>
  <si>
    <t xml:space="preserve">1. Tick chọn người mời đang bận cùng khung giờ
2. Bấm 'Xác nhận tạo'</t>
  </si>
  <si>
    <t xml:space="preserve">invitee đang bận, response hiện tại của họ ở cuộc họp kia ≠ declined</t>
  </si>
  <si>
    <t xml:space="preserve">KHÔNG tạo được cuộc họp. Hộp cảnh báo hiện thêm mục 'Người tham gia đang bận' liệt kê tên người đó và tên cuộc họp đang trùng lịch. (Khác với thiết kế ban đầu: hệ thống hiện tại CHẶN tạo chứ không tạo kèm cảnh báo.)</t>
  </si>
  <si>
    <t xml:space="preserve">TC-A12</t>
  </si>
  <si>
    <t xml:space="preserve">Mời người đã 'Từ chối' (declined) một cuộc họp khác trùng khung giờ</t>
  </si>
  <si>
    <t xml:space="preserve">Người được mời có trạng thái 'declined' ở cuộc họp trùng giờ đó</t>
  </si>
  <si>
    <t xml:space="preserve">1. Tick chọn người này làm người mời
2. Bấm 'Xác nhận tạo'</t>
  </si>
  <si>
    <t xml:space="preserve">invitee có response='declined' ở cuộc họp trùng giờ</t>
  </si>
  <si>
    <t xml:space="preserve">Tạo thành công — người đã từ chối một cuộc họp không bị tính là 'đang bận' (peopleConflicts loại trừ trạng thái declined).</t>
  </si>
  <si>
    <t xml:space="preserve">TC-A13</t>
  </si>
  <si>
    <t xml:space="preserve">Sửa lịch họp</t>
  </si>
  <si>
    <t xml:space="preserve">Người tổ chức sửa cuộc họp của chính mình sang khung giờ trống</t>
  </si>
  <si>
    <t xml:space="preserve">Đăng nhập là người tổ chức (ME) của cuộc họp; tab 'Cuộc họp của tôi' hoặc modal chi tiết</t>
  </si>
  <si>
    <t xml:space="preserve">1. Bấm '✎ Sửa' trên cuộc họp
2. Đổi Ngày/Giờ sang khung giờ trống của phòng
3. Bấm 'Lưu thay đổi'</t>
  </si>
  <si>
    <t xml:space="preserve">start/end mới không trùng lịch phòng/người mời</t>
  </si>
  <si>
    <t xml:space="preserve">Cập nhật thành công, toast 'Đã cập nhật cuộc họp.'. Thông tin cuộc họp trong danh sách/lịch được cập nhật đúng giá trị mới.</t>
  </si>
  <si>
    <t xml:space="preserve">TC-A14</t>
  </si>
  <si>
    <t xml:space="preserve">Sửa giờ mới bị trùng lịch phòng với một cuộc họp khác</t>
  </si>
  <si>
    <t xml:space="preserve">Phòng đã có cuộc họp khác ở khung giờ mới định đổi sang</t>
  </si>
  <si>
    <t xml:space="preserve">1. Bấm 'Sửa'
2. Đổi start/end trùng với cuộc họp khác cùng phòng
3. Bấm 'Lưu thay đổi'</t>
  </si>
  <si>
    <t xml:space="preserve">start/end mới giao với 1 cuộc họp khác cùng room</t>
  </si>
  <si>
    <t xml:space="preserve">KHÔNG lưu được. Hộp cảnh báo 'Phòng đã được sử dụng' hiện ra như khi tạo mới (cuộc họp đang sửa được loại trừ khỏi việc so trùng với chính nó nhờ excludeId).</t>
  </si>
  <si>
    <t xml:space="preserve">TC-A15</t>
  </si>
  <si>
    <t xml:space="preserve">Cập nhật lại danh sách người mời khi sửa (thêm/bớt)</t>
  </si>
  <si>
    <t xml:space="preserve">Đang sửa 1 cuộc họp của chính mình</t>
  </si>
  <si>
    <t xml:space="preserve">1. Bấm 'Sửa'
2. Tick thêm hoặc bỏ tick bớt người trong danh sách 'Mời người tham gia'
3. Bấm 'Lưu thay đổi'</t>
  </si>
  <si>
    <t xml:space="preserve">invitees = danh sách mới</t>
  </si>
  <si>
    <t xml:space="preserve">Cập nhật thành công. Danh sách người tham gia trong Chi tiết cuộc họp khớp đúng danh sách mới; người mới được thêm có trạng thái 'Chờ phản hồi' (pending), người bị bỏ không còn xuất hiện.</t>
  </si>
  <si>
    <t xml:space="preserve">TC-A16</t>
  </si>
  <si>
    <t xml:space="preserve">Hủy lịch họp</t>
  </si>
  <si>
    <t xml:space="preserve">Người tổ chức hủy cuộc họp và xác nhận</t>
  </si>
  <si>
    <t xml:space="preserve">Đăng nhập là người tổ chức của cuộc họp</t>
  </si>
  <si>
    <t xml:space="preserve">1. Bấm 'Hủy' trên cuộc họp (ở tab 'Cuộc họp của tôi' hoặc trong modal chi tiết)
2. Ở hộp thoại xác nhận (confirm), bấm OK/Đồng ý</t>
  </si>
  <si>
    <t xml:space="preserve">Cuộc họp bị xoá khỏi danh sách MEETINGS, toast 'Đã hủy cuộc họp.'. Cuộc họp không còn hiển thị ở bất kỳ Lịch/Tìm kiếm nào.</t>
  </si>
  <si>
    <t xml:space="preserve">TC-A17</t>
  </si>
  <si>
    <t xml:space="preserve">Người tổ chức bấm Hủy nhưng huỷ hộp thoại xác nhận (Cancel)</t>
  </si>
  <si>
    <t xml:space="preserve">1. Bấm 'Hủy' trên cuộc họp
2. Ở hộp thoại xác nhận, bấm Cancel/Huỷ</t>
  </si>
  <si>
    <t xml:space="preserve">Cuộc họp KHÔNG bị xoá, danh sách giữ nguyên như trước, không có toast nào hiện ra.</t>
  </si>
  <si>
    <t xml:space="preserve">B. PHẢN HỒI LỜI MỜI HỌP — modal Chi tiết cuộc họp (openMeeting)</t>
  </si>
  <si>
    <t xml:space="preserve">TC-B01</t>
  </si>
  <si>
    <t xml:space="preserve">Phản hồi lời mời</t>
  </si>
  <si>
    <t xml:space="preserve">Người được mời (đang 'Chờ phản hồi') bấm 'Xác nhận tham gia'</t>
  </si>
  <si>
    <t xml:space="preserve">myStatus của cuộc họp = 'pending'</t>
  </si>
  <si>
    <t xml:space="preserve">1. Mở Chi tiết 1 cuộc họp đang ở trạng thái 'Chờ phản hồi'
2. Bấm '✓ Xác nhận tham gia'</t>
  </si>
  <si>
    <t xml:space="preserve">response='accepted'</t>
  </si>
  <si>
    <t xml:space="preserve">Trạng thái của người dùng ở cuộc họp chuyển thành 'Đã xác nhận' (accepted), toast 'Bạn đã xác nhận tham gia cuộc họp.', modal đóng lại.</t>
  </si>
  <si>
    <t xml:space="preserve">TC-B02</t>
  </si>
  <si>
    <t xml:space="preserve">Người được mời (đang 'Chờ phản hồi') bấm 'Từ chối'</t>
  </si>
  <si>
    <t xml:space="preserve">1. Mở Chi tiết cuộc họp đang 'Chờ phản hồi'
2. Bấm '✕ Từ chối'</t>
  </si>
  <si>
    <t xml:space="preserve">response='declined'</t>
  </si>
  <si>
    <t xml:space="preserve">Trạng thái chuyển thành 'Đã từ chối' (declined), toast 'Bạn đã từ chối cuộc họp.', modal đóng lại.</t>
  </si>
  <si>
    <t xml:space="preserve">TC-B03</t>
  </si>
  <si>
    <t xml:space="preserve">Người đã phản hồi (accepted/declined, không phải organizer) đổi lại phản hồi</t>
  </si>
  <si>
    <t xml:space="preserve">myStatus = 'accepted' hoặc 'declined', không phải organizer</t>
  </si>
  <si>
    <t xml:space="preserve">1. Mở Chi tiết cuộc họp
2. Bấm nút đổi trạng thái (VD: 'Đổi thành: Từ chối' nếu đang accepted)</t>
  </si>
  <si>
    <t xml:space="preserve">response = trạng thái đối lập</t>
  </si>
  <si>
    <t xml:space="preserve">myStatus được cập nhật sang trạng thái mới tương ứng, toast phù hợp hiện ra, modal đóng lại.</t>
  </si>
  <si>
    <t xml:space="preserve">C. TÌM KIẾM LỊCH HỌP — tab 'Tìm kiếm' (renderSearch)</t>
  </si>
  <si>
    <t xml:space="preserve">TC-C01</t>
  </si>
  <si>
    <t xml:space="preserve">Tìm kiếm</t>
  </si>
  <si>
    <t xml:space="preserve">Tìm theo từ khoá trong tên cuộc họp</t>
  </si>
  <si>
    <t xml:space="preserve">1. Vào tab 'Tìm kiếm'
2. Gõ từ khoá vào ô 'Tìm theo tên cuộc họp…'</t>
  </si>
  <si>
    <t xml:space="preserve">q='sprint' (chữ thường)</t>
  </si>
  <si>
    <t xml:space="preserve">Chỉ hiển thị các cuộc họp có Tiêu đề chứa từ khoá (không phân biệt hoa/thường, dùng includes + toLowerCase).</t>
  </si>
  <si>
    <t xml:space="preserve">TC-C02</t>
  </si>
  <si>
    <t xml:space="preserve">Lọc theo Phòng họp</t>
  </si>
  <si>
    <t xml:space="preserve">1. Chọn 1 phòng cụ thể ở dropdown 'Tất cả phòng'</t>
  </si>
  <si>
    <t xml:space="preserve">fRoom='Phòng B'</t>
  </si>
  <si>
    <t xml:space="preserve">Chỉ hiển thị các cuộc họp diễn ra tại Phòng B.</t>
  </si>
  <si>
    <t xml:space="preserve">TC-C03</t>
  </si>
  <si>
    <t xml:space="preserve">Lọc theo Người tổ chức</t>
  </si>
  <si>
    <t xml:space="preserve">1. Chọn 1 người ở dropdown 'Tất cả người tổ chức'</t>
  </si>
  <si>
    <t xml:space="preserve">fOrg='Nguyễn Văn Sơn'</t>
  </si>
  <si>
    <t xml:space="preserve">Chỉ hiển thị các cuộc họp do người đó tổ chức.</t>
  </si>
  <si>
    <t xml:space="preserve">TC-C04</t>
  </si>
  <si>
    <t xml:space="preserve">Lọc theo khoảng ngày (Từ ngày – Đến ngày)</t>
  </si>
  <si>
    <t xml:space="preserve">1. Chọn giá trị ở 2 ô date 'Từ ngày' và 'Đến ngày'</t>
  </si>
  <si>
    <t xml:space="preserve">fFrom, fTo hợp lệ, fFrom &lt;= fTo</t>
  </si>
  <si>
    <t xml:space="preserve">Chỉ hiển thị các cuộc họp có ngày bắt đầu nằm trong khoảng [fFrom, fTo] (so sánh chuỗi yyyy-mm-dd).</t>
  </si>
  <si>
    <t xml:space="preserve">TC-C05</t>
  </si>
  <si>
    <t xml:space="preserve">Kết hợp nhiều bộ lọc cùng lúc (từ khoá + phòng + người tổ chức + khoảng ngày)</t>
  </si>
  <si>
    <t xml:space="preserve">1. Điền/chọn đồng thời nhiều điều kiện lọc</t>
  </si>
  <si>
    <t xml:space="preserve">search, fRoom, fOrg, fFrom, fTo cùng có giá trị</t>
  </si>
  <si>
    <t xml:space="preserve">Kết quả trả về là các cuộc họp thoả mãn ĐỒNG THỜI tất cả điều kiện đã chọn (điều kiện AND), sắp xếp theo start tăng dần.</t>
  </si>
  <si>
    <t xml:space="preserve">TC-C06</t>
  </si>
  <si>
    <t xml:space="preserve">Không có cuộc họp nào khớp điều kiện lọc</t>
  </si>
  <si>
    <t xml:space="preserve">1. Nhập điều kiện lọc không khớp cuộc họp nào (VD: từ khoá vô nghĩa)</t>
  </si>
  <si>
    <t xml:space="preserve">search='xxxkhongtontaixxx'</t>
  </si>
  <si>
    <t xml:space="preserve">Hiển thị thông báo 'Không tìm thấy cuộc họp phù hợp.'</t>
  </si>
  <si>
    <t xml:space="preserve">D. THÔNG BÁO — tab 'Thông báo' (renderNotifications)</t>
  </si>
  <si>
    <t xml:space="preserve">TC-D01</t>
  </si>
  <si>
    <t xml:space="preserve">Thông báo</t>
  </si>
  <si>
    <t xml:space="preserve">Bấm 'Đánh dấu đã đọc tất cả'</t>
  </si>
  <si>
    <t xml:space="preserve">Có ít nhất 1 thông báo unread=true (dot-badge hiển thị số trên tab)</t>
  </si>
  <si>
    <t xml:space="preserve">1. Vào tab 'Thông báo'
2. Bấm 'Đánh dấu đã đọc tất cả'</t>
  </si>
  <si>
    <t xml:space="preserve">Toàn bộ thông báo chuyển unread=false; các dòng thông báo hết in đậm/nổi bật; dot-badge số lượng chưa đọc trên tab 'Thông báo' biến mất.</t>
  </si>
  <si>
    <t xml:space="preserve">TC-D02</t>
  </si>
  <si>
    <t xml:space="preserve">Bấm vào 1 thông báo có gắn với cuộc họp (mid khác null)</t>
  </si>
  <si>
    <t xml:space="preserve">Thông báo có trường mid trỏ tới 1 cuộc họp tồn tại</t>
  </si>
  <si>
    <t xml:space="preserve">1. Bấm vào 1 thông báo, VD 'Lịch họp mới: Review thiết kế UI Module Đặt phòng'</t>
  </si>
  <si>
    <t xml:space="preserve">notif.mid=2</t>
  </si>
  <si>
    <t xml:space="preserve">Thông báo được đánh dấu đã đọc (unread=false) VÀ modal Chi tiết cuộc họp tương ứng (id=2) được mở ra.</t>
  </si>
  <si>
    <t xml:space="preserve">TC-D03</t>
  </si>
  <si>
    <t xml:space="preserve">Bấm vào 1 thông báo không gắn với cuộc họp nào (mid=null)</t>
  </si>
  <si>
    <t xml:space="preserve">Thông báo có mid=null, VD 'Đã hủy: Họp đánh giá KPI quý 2'</t>
  </si>
  <si>
    <t xml:space="preserve">1. Bấm vào thông báo đó</t>
  </si>
  <si>
    <t xml:space="preserve">notif.mid=null</t>
  </si>
  <si>
    <t xml:space="preserve">Thông báo được đánh dấu đã đọc, KHÔNG có modal chi tiết nào được mở.</t>
  </si>
  <si>
    <t xml:space="preserve">E. TÀI KHOẢN — tab 'Tài khoản' (renderAccount)</t>
  </si>
  <si>
    <t xml:space="preserve">TC-E01</t>
  </si>
  <si>
    <t xml:space="preserve">Tài khoản</t>
  </si>
  <si>
    <t xml:space="preserve">Đổi tên hiển thị và lưu</t>
  </si>
  <si>
    <t xml:space="preserve">1. Vào tab 'Tài khoản'
2. Sửa ô 'Họ và tên'
3. Bấm 'Lưu thay đổi'</t>
  </si>
  <si>
    <t xml:space="preserve">acc-name = tên mới, khác tên cũ</t>
  </si>
  <si>
    <t xml:space="preserve">Toast 'Đã lưu thông tin cá nhân — tên đã được đồng bộ trên toàn hệ thống.'. Tên mới được cập nhật ở: chữ tắt trên avatar góc trên, vai trò organizer của các cuộc họp mình tổ chức, tên mình trong danh sách người tham gia các cuộc họp khác, nội dung các thông báo có nhắc tên cũ, và danh sách nhân viên.</t>
  </si>
  <si>
    <t xml:space="preserve">TC-E02</t>
  </si>
  <si>
    <t xml:space="preserve">Để trống Họ và tên rồi bấm Lưu</t>
  </si>
  <si>
    <t xml:space="preserve">1. Xoá trắng ô 'Họ và tên'
2. Bấm 'Lưu thay đổi'</t>
  </si>
  <si>
    <t xml:space="preserve">acc-name=''</t>
  </si>
  <si>
    <t xml:space="preserve">Không lưu thay đổi. Toast 'Họ và tên không được để trống.'; tên hiển thị và dữ liệu liên quan giữ nguyên như trước.</t>
  </si>
  <si>
    <t xml:space="preserve">TC-E03</t>
  </si>
  <si>
    <t xml:space="preserve">Đổi mật khẩu, ô xác nhận không khớp mật khẩu mới</t>
  </si>
  <si>
    <t xml:space="preserve">1. Điền Mật khẩu hiện tại, Mật khẩu mới, Xác nhận mật khẩu mới (2 ô khác nhau)
2. Bấm 'Cập nhật mật khẩu'</t>
  </si>
  <si>
    <t xml:space="preserve">Mật khẩu mới ≠ Xác nhận mật khẩu mới</t>
  </si>
  <si>
    <t xml:space="preserve">Không cập nhật. Toast 'Mật khẩu xác nhận không khớp.'</t>
  </si>
  <si>
    <t xml:space="preserve">TC-E04</t>
  </si>
  <si>
    <t xml:space="preserve">Đổi mật khẩu hợp lệ (2 ô khớp nhau, tối thiểu 8 ký tự)</t>
  </si>
  <si>
    <t xml:space="preserve">1. Điền đủ 3 ô, Mật khẩu mới = Xác nhận mật khẩu mới, độ dài ≥ 8
2. Bấm 'Cập nhật mật khẩu'</t>
  </si>
  <si>
    <t xml:space="preserve">newPass=='confirmPass', length&gt;=8</t>
  </si>
  <si>
    <t xml:space="preserve">Toast 'Đã cập nhật mật khẩu.', form đổi mật khẩu được reset về rỗng.</t>
  </si>
  <si>
    <t xml:space="preserve">TC-E05</t>
  </si>
  <si>
    <t xml:space="preserve">Thêm nhân viên mới vào 'Danh sách nhân viên'</t>
  </si>
  <si>
    <t xml:space="preserve">Tên nhập vào chưa có trong danh sách (không phân biệt hoa/thường)</t>
  </si>
  <si>
    <t xml:space="preserve">1. Nhập tên vào ô 'Họ và tên nhân viên mới…'
2. Bấm '+ Thêm nhân viên'</t>
  </si>
  <si>
    <t xml:space="preserve">name='Ngô Thị Lan'</t>
  </si>
  <si>
    <t xml:space="preserve">Tên mới xuất hiện ngay trong danh sách nhân viên và trong danh sách tick chọn 'Mời người tham gia' khi tạo lịch họp. Toast 'Đã thêm nhân viên: Ngô Thị Lan (đã lưu vĩnh viễn)'. Dữ liệu được lưu vào localStorage nên còn nguyên sau khi tải lại trang.</t>
  </si>
  <si>
    <t xml:space="preserve">TC-E06</t>
  </si>
  <si>
    <t xml:space="preserve">Thêm nhân viên trùng tên đã có (không phân biệt hoa/thường)</t>
  </si>
  <si>
    <t xml:space="preserve">Tên nhập vào đã tồn tại trong danh sách people</t>
  </si>
  <si>
    <t xml:space="preserve">1. Nhập tên đã có sẵn (VD: 'trần thị bích' viết thường)
2. Bấm '+ Thêm nhân viên'</t>
  </si>
  <si>
    <t xml:space="preserve">name trùng (case-insensitive) với 1 người đã có</t>
  </si>
  <si>
    <t xml:space="preserve">Không thêm trùng. Toast 'Nhân viên này đã có trong danh sách.'; danh sách không đổi.</t>
  </si>
  <si>
    <t xml:space="preserve">TC-E07</t>
  </si>
  <si>
    <t xml:space="preserve">Xoá 1 nhân viên khỏi danh sách (không phải chính mình)</t>
  </si>
  <si>
    <t xml:space="preserve">Nhân viên cần xoá không phải là ME (tài khoản đang đăng nhập)</t>
  </si>
  <si>
    <t xml:space="preserve">1. Bấm 'Xóa' bên cạnh tên nhân viên cần xoá</t>
  </si>
  <si>
    <t xml:space="preserve">Nhân viên đó biến mất khỏi danh sách nhân viên và khỏi danh sách 'Mời người tham gia'. Toast 'Đã xóa nhân viên: {tên}'.</t>
  </si>
  <si>
    <t xml:space="preserve">TC-E08</t>
  </si>
  <si>
    <t xml:space="preserve">Đăng xuất</t>
  </si>
  <si>
    <t xml:space="preserve">1. Bấm 'Đăng xuất' ở cuối trang Tài khoản</t>
  </si>
  <si>
    <t xml:space="preserve">Màn hình 'app' bị ẩn, quay lại màn hình 'Đăng nhập'.</t>
  </si>
  <si>
    <t xml:space="preserve">F. LỊCH CỦA TÔI — tab 'Lịch của tôi' (renderCalendar: Day/Week/Month)</t>
  </si>
  <si>
    <t xml:space="preserve">TC-F01</t>
  </si>
  <si>
    <t xml:space="preserve">Lịch - Xem Ngày</t>
  </si>
  <si>
    <t xml:space="preserve">Điều hướng ngày trước/sau bằng nút ‹ ›</t>
  </si>
  <si>
    <t xml:space="preserve">Đang ở view 'Ngày'</t>
  </si>
  <si>
    <t xml:space="preserve">1. Bấm nút ‹ (ngày trước) hoặc › (ngày sau)</t>
  </si>
  <si>
    <t xml:space="preserve">state.selDate thay đổi ±1 ngày, tiêu đề ngày và danh sách cuộc họp trong bảng cập nhật đúng theo ngày mới.</t>
  </si>
  <si>
    <t xml:space="preserve">TC-F02</t>
  </si>
  <si>
    <t xml:space="preserve">Lịch</t>
  </si>
  <si>
    <t xml:space="preserve">Bấm nút 'Hôm nay'</t>
  </si>
  <si>
    <t xml:space="preserve">Đang xem 1 ngày/tuần/tháng khác với hiện tại</t>
  </si>
  <si>
    <t xml:space="preserve">1. Bấm 'Hôm nay'</t>
  </si>
  <si>
    <t xml:space="preserve">selDate quay về đúng ngày TODAY của hệ thống demo (Thứ 2, 13/07/2026); danh sách cuộc họp hiển thị đúng của ngày hôm đó.</t>
  </si>
  <si>
    <t xml:space="preserve">TC-F03</t>
  </si>
  <si>
    <t xml:space="preserve">Lịch - Xem Tuần</t>
  </si>
  <si>
    <t xml:space="preserve">Chuyển sang chế độ xem Tuần</t>
  </si>
  <si>
    <t xml:space="preserve">1. Bấm nút chuyển view 'Tuần'</t>
  </si>
  <si>
    <t xml:space="preserve">Hiển thị đúng 7 cột tương ứng Thứ 2 → Chủ nhật của tuần chứa selDate; mỗi cột liệt kê đúng các cuộc họp diễn ra trong ngày đó, cột của ngày TODAY được đánh dấu 'is-today'.</t>
  </si>
  <si>
    <t xml:space="preserve">TC-F04</t>
  </si>
  <si>
    <t xml:space="preserve">Lịch - Xem Tháng</t>
  </si>
  <si>
    <t xml:space="preserve">Chuyển sang chế độ xem Tháng và bấm chọn 1 ngày trong lưới</t>
  </si>
  <si>
    <t xml:space="preserve">1. Bấm nút chuyển view 'Tháng'
2. Bấm vào 1 ô ngày bất kỳ trong lưới tháng</t>
  </si>
  <si>
    <t xml:space="preserve">pickday = ngày được bấm</t>
  </si>
  <si>
    <t xml:space="preserve">Ứng dụng tự chuyển sang view 'Ngày' đúng với ngày vừa bấm chọn (state.calView='day', selDate=ngày đã chọn).</t>
  </si>
  <si>
    <t xml:space="preserve">TC-F05</t>
  </si>
  <si>
    <t xml:space="preserve">Xem 1 ngày không có cuộc họp nào</t>
  </si>
  <si>
    <t xml:space="preserve">Ngày được chọn không có cuộc họp nào trong MEETINGS</t>
  </si>
  <si>
    <t xml:space="preserve">1. Điều hướng tới 1 ngày trống lịch</t>
  </si>
  <si>
    <t xml:space="preserve">Bảng hiển thị thông báo trống 'Không có cuộc họp nào trong ngày này.'</t>
  </si>
  <si>
    <t xml:space="preserve">TỔNG KẾT KẾT QUẢ KIỂM THỬ</t>
  </si>
  <si>
    <t xml:space="preserve">Tổng số Test Case:</t>
  </si>
  <si>
    <t xml:space="preserve">Số Test Case Pass:</t>
  </si>
  <si>
    <t xml:space="preserve">Số Test Case Fail:</t>
  </si>
  <si>
    <t xml:space="preserve">Tỉ lệ Pass (%):</t>
  </si>
  <si>
    <t xml:space="preserve">HƯỚNG DẪN SỬ DỤNG FILE TEST CASE</t>
  </si>
  <si>
    <t xml:space="preserve">1. Sheet 'C5_Testcase' liệt kê Test Case cho toàn bộ chức năng phía client của bản demo (Tạo/Sửa/Hủy lịch họp, Phản hồi lời mời, Tìm kiếm, Thông báo, Tài khoản, Lịch Ngày/Tuần/Tháng), viết lại dựa trên logic thực tế trong script.js — KHÔNG dựa trên API backend vì bản demo này chạy hoàn toàn phía client (không có Node.js/Express/MySQL thật).</t>
  </si>
  <si>
    <t xml:space="preserve">2. Nhóm chạy thử từng Test Case bằng cách mở index.html trên trình duyệt, thao tác trực tiếp trên giao diện, rồi điền:</t>
  </si>
  <si>
    <t xml:space="preserve">   - Cột 'Kết quả thực tế': mô tả kết quả thực tế quan sát được trên giao diện.</t>
  </si>
  <si>
    <t xml:space="preserve">   - Cột 'Trạng thái (Pass/Fail)': ghi 'Pass' nếu khớp Kết quả mong đợi, 'Fail' nếu không khớp.</t>
  </si>
  <si>
    <t xml:space="preserve">3. Cột 'Người thực hiện': ghi tên thành viên đã thực hiện Test Case đó.</t>
  </si>
  <si>
    <t xml:space="preserve">4. Nếu Fail, ghi rõ nguyên nhân/lỗi vào cột 'Ghi chú'.</t>
  </si>
  <si>
    <t xml:space="preserve">5. Một số Test Case ở nhóm A (TC-A08, TC-A11) mô tả hành vi CHẶN tạo lịch khi trùng phòng/người mời — đây là điểm khác so với thiết kế API ban đầu (vốn chỉ cảnh báo 'warnings' rồi vẫn tạo). Cần đối chiếu với Product Backlog để xác nhận đây có đúng là hành vi mong muốn hay là lỗi cần sửa.</t>
  </si>
  <si>
    <t xml:space="preserve">6. Test Case TC-A06 xác nhận rằng bản demo hiện KHÔNG áp dụng ràng buộc thời lượng tối thiểu 15 phút giữa giờ bắt đầu và giờ kết thúc — nếu yêu cầu đề bài có ràng buộc này thì cần bổ sung vào code và cập nhật lại Test Case.</t>
  </si>
  <si>
    <t xml:space="preserve">7. Bảng 'TỔNG KẾT KẾT QUẢ KIỂM THỬ' cuối sheet C5_Testcase tự động tính theo cột Trạng thái, không cần sửa công thức.</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</si>
</sst>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000000"/>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0.5"/>
      <color rgb="FF000000"/>
      <name val="Arial"/>
      <family val="0"/>
      <charset val="1"/>
    </font>
    <font>
      <b val="true"/>
      <sz val="11"/>
      <color rgb="FFFFFFFF"/>
      <name val="Arial"/>
      <family val="0"/>
      <charset val="1"/>
    </font>
    <font>
      <b val="true"/>
      <sz val="10"/>
      <name val="Arial"/>
      <family val="0"/>
      <charset val="1"/>
    </font>
    <font>
      <b val="true"/>
      <sz val="11"/>
      <name val="Arial"/>
      <family val="0"/>
      <charset val="1"/>
    </font>
    <font>
      <sz val="11"/>
      <name val="Arial"/>
      <family val="0"/>
      <charset val="1"/>
    </font>
  </fonts>
  <fills count="7">
    <fill>
      <patternFill patternType="none"/>
    </fill>
    <fill>
      <patternFill patternType="gray125"/>
    </fill>
    <fill>
      <patternFill patternType="solid">
        <fgColor rgb="FF1F4E78"/>
        <bgColor rgb="FF305496"/>
      </patternFill>
    </fill>
    <fill>
      <patternFill patternType="solid">
        <fgColor rgb="FFD9E1F2"/>
        <bgColor rgb="FFEDEDED"/>
      </patternFill>
    </fill>
    <fill>
      <patternFill patternType="solid">
        <fgColor rgb="FFEDEDED"/>
        <bgColor rgb="FFD9E1F2"/>
      </patternFill>
    </fill>
    <fill>
      <patternFill patternType="solid">
        <fgColor rgb="FF305496"/>
        <bgColor rgb="FF1F4E78"/>
      </patternFill>
    </fill>
    <fill>
      <patternFill patternType="solid">
        <fgColor rgb="FFBDD7EE"/>
        <bgColor rgb="FFD9E1F2"/>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5" borderId="2"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5" fontId="11" fillId="0" borderId="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0"/>
    <col collapsed="false" customWidth="true" hidden="false" outlineLevel="0" max="4" min="4" style="0" width="30"/>
    <col collapsed="false" customWidth="true" hidden="false" outlineLevel="0" max="5" min="5" style="0" width="26"/>
    <col collapsed="false" customWidth="true" hidden="false" outlineLevel="0" max="6" min="6" style="0" width="34"/>
    <col collapsed="false" customWidth="true" hidden="false" outlineLevel="0" max="7" min="7" style="0" width="26"/>
    <col collapsed="false" customWidth="true" hidden="false" outlineLevel="0" max="8" min="8" style="0" width="40"/>
    <col collapsed="false" customWidth="true" hidden="false" outlineLevel="0" max="9" min="9" style="0" width="22"/>
    <col collapsed="false" customWidth="true" hidden="false" outlineLevel="0" max="10" min="10" style="0" width="12"/>
    <col collapsed="false" customWidth="true" hidden="false" outlineLevel="0" max="11" min="11" style="0" width="14"/>
    <col collapsed="false" customWidth="true" hidden="false" outlineLevel="0" max="12" min="12" style="0" width="18"/>
  </cols>
  <sheetData>
    <row r="1" customFormat="false" ht="21.75" hidden="false" customHeight="true" outlineLevel="0" collapsed="false">
      <c r="A1" s="1" t="s">
        <v>0</v>
      </c>
      <c r="B1" s="1"/>
      <c r="C1" s="1"/>
      <c r="D1" s="1"/>
      <c r="E1" s="1"/>
      <c r="F1" s="1"/>
      <c r="G1" s="1"/>
      <c r="H1" s="1"/>
      <c r="I1" s="1"/>
      <c r="J1" s="1"/>
      <c r="K1" s="1"/>
      <c r="L1" s="1"/>
    </row>
    <row r="2" customFormat="false" ht="15" hidden="false" customHeight="true" outlineLevel="0" collapsed="false">
      <c r="A2" s="2" t="s">
        <v>1</v>
      </c>
      <c r="B2" s="2"/>
      <c r="C2" s="2"/>
      <c r="D2" s="2"/>
      <c r="E2" s="2"/>
      <c r="F2" s="2"/>
      <c r="G2" s="2"/>
      <c r="H2" s="2"/>
      <c r="I2" s="2"/>
      <c r="J2" s="2"/>
      <c r="K2" s="2"/>
      <c r="L2" s="2"/>
    </row>
    <row r="4" customFormat="false" ht="46.25" hidden="false" customHeight="true" outlineLevel="0" collapsed="false">
      <c r="A4" s="3" t="s">
        <v>2</v>
      </c>
      <c r="B4" s="4" t="s">
        <v>3</v>
      </c>
      <c r="C4" s="4"/>
      <c r="D4" s="4"/>
      <c r="E4" s="4"/>
      <c r="F4" s="4"/>
      <c r="G4" s="4"/>
      <c r="H4" s="4"/>
      <c r="I4" s="4"/>
      <c r="J4" s="4"/>
      <c r="K4" s="4"/>
      <c r="L4" s="4"/>
    </row>
    <row r="5" customFormat="false" ht="68.65" hidden="false" customHeight="true" outlineLevel="0" collapsed="false">
      <c r="A5" s="3" t="s">
        <v>4</v>
      </c>
      <c r="B5" s="4" t="s">
        <v>5</v>
      </c>
      <c r="C5" s="4"/>
      <c r="D5" s="4"/>
      <c r="E5" s="4"/>
      <c r="F5" s="4"/>
      <c r="G5" s="4"/>
      <c r="H5" s="4"/>
      <c r="I5" s="4"/>
      <c r="J5" s="4"/>
      <c r="K5" s="4"/>
      <c r="L5" s="4"/>
    </row>
    <row r="6" customFormat="false" ht="23.85" hidden="false" customHeight="true" outlineLevel="0" collapsed="false">
      <c r="A6" s="3" t="s">
        <v>6</v>
      </c>
      <c r="B6" s="4" t="s">
        <v>7</v>
      </c>
      <c r="C6" s="4"/>
      <c r="D6" s="4"/>
      <c r="E6" s="4"/>
      <c r="F6" s="4"/>
      <c r="G6" s="4"/>
      <c r="H6" s="4"/>
      <c r="I6" s="4"/>
      <c r="J6" s="4"/>
      <c r="K6" s="4"/>
      <c r="L6" s="4"/>
    </row>
    <row r="7" customFormat="false" ht="46.25" hidden="false" customHeight="true" outlineLevel="0" collapsed="false">
      <c r="A7" s="3" t="s">
        <v>8</v>
      </c>
      <c r="B7" s="4" t="s">
        <v>9</v>
      </c>
      <c r="C7" s="4"/>
      <c r="D7" s="4"/>
      <c r="E7" s="4"/>
      <c r="F7" s="4"/>
      <c r="G7" s="4"/>
      <c r="H7" s="4"/>
      <c r="I7" s="4"/>
      <c r="J7" s="4"/>
      <c r="K7" s="4"/>
      <c r="L7" s="4"/>
    </row>
    <row r="9" customFormat="false" ht="23.85" hidden="false" customHeight="false" outlineLevel="0" collapsed="false">
      <c r="A9" s="5" t="s">
        <v>10</v>
      </c>
      <c r="B9" s="5" t="s">
        <v>11</v>
      </c>
      <c r="C9" s="5" t="s">
        <v>12</v>
      </c>
      <c r="D9" s="5" t="s">
        <v>13</v>
      </c>
      <c r="E9" s="5" t="s">
        <v>14</v>
      </c>
      <c r="F9" s="5" t="s">
        <v>15</v>
      </c>
      <c r="G9" s="5" t="s">
        <v>16</v>
      </c>
      <c r="H9" s="5" t="s">
        <v>17</v>
      </c>
      <c r="I9" s="5" t="s">
        <v>18</v>
      </c>
      <c r="J9" s="5" t="s">
        <v>19</v>
      </c>
      <c r="K9" s="5" t="s">
        <v>20</v>
      </c>
      <c r="L9" s="5" t="s">
        <v>21</v>
      </c>
    </row>
    <row r="10" customFormat="false" ht="15" hidden="false" customHeight="true" outlineLevel="0" collapsed="false">
      <c r="A10" s="6" t="s">
        <v>22</v>
      </c>
      <c r="B10" s="6"/>
      <c r="C10" s="6"/>
      <c r="D10" s="6"/>
      <c r="E10" s="6"/>
      <c r="F10" s="6"/>
      <c r="G10" s="6"/>
      <c r="H10" s="6"/>
      <c r="I10" s="6"/>
      <c r="J10" s="6"/>
      <c r="K10" s="6"/>
      <c r="L10" s="6"/>
    </row>
    <row r="11" customFormat="false" ht="60" hidden="false" customHeight="true" outlineLevel="0" collapsed="false">
      <c r="A11" s="7" t="n">
        <v>1</v>
      </c>
      <c r="B11" s="7" t="s">
        <v>23</v>
      </c>
      <c r="C11" s="8" t="s">
        <v>24</v>
      </c>
      <c r="D11" s="8" t="s">
        <v>25</v>
      </c>
      <c r="E11" s="8" t="s">
        <v>26</v>
      </c>
      <c r="F11" s="8" t="s">
        <v>27</v>
      </c>
      <c r="G11" s="8" t="s">
        <v>28</v>
      </c>
      <c r="H11" s="8" t="s">
        <v>29</v>
      </c>
      <c r="I11" s="8"/>
      <c r="J11" s="8"/>
      <c r="K11" s="8"/>
      <c r="L11" s="8"/>
    </row>
    <row r="12" customFormat="false" ht="60" hidden="false" customHeight="true" outlineLevel="0" collapsed="false">
      <c r="A12" s="7" t="n">
        <v>2</v>
      </c>
      <c r="B12" s="7" t="s">
        <v>30</v>
      </c>
      <c r="C12" s="8" t="s">
        <v>24</v>
      </c>
      <c r="D12" s="8" t="s">
        <v>31</v>
      </c>
      <c r="E12" s="8" t="s">
        <v>32</v>
      </c>
      <c r="F12" s="8" t="s">
        <v>33</v>
      </c>
      <c r="G12" s="8" t="s">
        <v>34</v>
      </c>
      <c r="H12" s="8" t="s">
        <v>35</v>
      </c>
      <c r="I12" s="8"/>
      <c r="J12" s="8"/>
      <c r="K12" s="8"/>
      <c r="L12" s="8"/>
    </row>
    <row r="13" customFormat="false" ht="60" hidden="false" customHeight="true" outlineLevel="0" collapsed="false">
      <c r="A13" s="7" t="n">
        <v>3</v>
      </c>
      <c r="B13" s="7" t="s">
        <v>36</v>
      </c>
      <c r="C13" s="8" t="s">
        <v>24</v>
      </c>
      <c r="D13" s="8" t="s">
        <v>37</v>
      </c>
      <c r="E13" s="8" t="s">
        <v>38</v>
      </c>
      <c r="F13" s="8" t="s">
        <v>39</v>
      </c>
      <c r="G13" s="8" t="s">
        <v>40</v>
      </c>
      <c r="H13" s="8" t="s">
        <v>41</v>
      </c>
      <c r="I13" s="8"/>
      <c r="J13" s="8"/>
      <c r="K13" s="8"/>
      <c r="L13" s="8"/>
    </row>
    <row r="14" customFormat="false" ht="60" hidden="false" customHeight="true" outlineLevel="0" collapsed="false">
      <c r="A14" s="7" t="n">
        <v>4</v>
      </c>
      <c r="B14" s="7" t="s">
        <v>42</v>
      </c>
      <c r="C14" s="8" t="s">
        <v>24</v>
      </c>
      <c r="D14" s="8" t="s">
        <v>43</v>
      </c>
      <c r="E14" s="8" t="s">
        <v>38</v>
      </c>
      <c r="F14" s="8" t="s">
        <v>44</v>
      </c>
      <c r="G14" s="8" t="s">
        <v>45</v>
      </c>
      <c r="H14" s="8" t="s">
        <v>46</v>
      </c>
      <c r="I14" s="8"/>
      <c r="J14" s="8"/>
      <c r="K14" s="8"/>
      <c r="L14" s="8"/>
    </row>
    <row r="15" customFormat="false" ht="60" hidden="false" customHeight="true" outlineLevel="0" collapsed="false">
      <c r="A15" s="7" t="n">
        <v>5</v>
      </c>
      <c r="B15" s="7" t="s">
        <v>47</v>
      </c>
      <c r="C15" s="8" t="s">
        <v>24</v>
      </c>
      <c r="D15" s="8" t="s">
        <v>48</v>
      </c>
      <c r="E15" s="8" t="s">
        <v>38</v>
      </c>
      <c r="F15" s="8" t="s">
        <v>49</v>
      </c>
      <c r="G15" s="8" t="s">
        <v>50</v>
      </c>
      <c r="H15" s="8" t="s">
        <v>51</v>
      </c>
      <c r="I15" s="8"/>
      <c r="J15" s="8"/>
      <c r="K15" s="8"/>
      <c r="L15" s="8"/>
    </row>
    <row r="16" customFormat="false" ht="60" hidden="false" customHeight="true" outlineLevel="0" collapsed="false">
      <c r="A16" s="7" t="n">
        <v>6</v>
      </c>
      <c r="B16" s="7" t="s">
        <v>52</v>
      </c>
      <c r="C16" s="8" t="s">
        <v>24</v>
      </c>
      <c r="D16" s="8" t="s">
        <v>53</v>
      </c>
      <c r="E16" s="8" t="s">
        <v>38</v>
      </c>
      <c r="F16" s="8" t="s">
        <v>54</v>
      </c>
      <c r="G16" s="8" t="s">
        <v>55</v>
      </c>
      <c r="H16" s="8" t="s">
        <v>56</v>
      </c>
      <c r="I16" s="8"/>
      <c r="J16" s="8"/>
      <c r="K16" s="8"/>
      <c r="L16" s="8"/>
    </row>
    <row r="17" customFormat="false" ht="60" hidden="false" customHeight="true" outlineLevel="0" collapsed="false">
      <c r="A17" s="7" t="n">
        <v>7</v>
      </c>
      <c r="B17" s="7" t="s">
        <v>57</v>
      </c>
      <c r="C17" s="8" t="s">
        <v>24</v>
      </c>
      <c r="D17" s="8" t="s">
        <v>58</v>
      </c>
      <c r="E17" s="8" t="s">
        <v>38</v>
      </c>
      <c r="F17" s="8" t="s">
        <v>59</v>
      </c>
      <c r="G17" s="8" t="s">
        <v>60</v>
      </c>
      <c r="H17" s="8" t="s">
        <v>61</v>
      </c>
      <c r="I17" s="8"/>
      <c r="J17" s="8"/>
      <c r="K17" s="8"/>
      <c r="L17" s="8"/>
    </row>
    <row r="18" customFormat="false" ht="60" hidden="false" customHeight="true" outlineLevel="0" collapsed="false">
      <c r="A18" s="7" t="n">
        <v>8</v>
      </c>
      <c r="B18" s="7" t="s">
        <v>62</v>
      </c>
      <c r="C18" s="8" t="s">
        <v>24</v>
      </c>
      <c r="D18" s="8" t="s">
        <v>63</v>
      </c>
      <c r="E18" s="8" t="s">
        <v>64</v>
      </c>
      <c r="F18" s="8" t="s">
        <v>65</v>
      </c>
      <c r="G18" s="8" t="s">
        <v>66</v>
      </c>
      <c r="H18" s="8" t="s">
        <v>67</v>
      </c>
      <c r="I18" s="8"/>
      <c r="J18" s="8"/>
      <c r="K18" s="8"/>
      <c r="L18" s="8"/>
    </row>
    <row r="19" customFormat="false" ht="60" hidden="false" customHeight="true" outlineLevel="0" collapsed="false">
      <c r="A19" s="7" t="n">
        <v>9</v>
      </c>
      <c r="B19" s="7" t="s">
        <v>68</v>
      </c>
      <c r="C19" s="8" t="s">
        <v>24</v>
      </c>
      <c r="D19" s="8" t="s">
        <v>69</v>
      </c>
      <c r="E19" s="8" t="s">
        <v>70</v>
      </c>
      <c r="F19" s="8" t="s">
        <v>71</v>
      </c>
      <c r="G19" s="8" t="s">
        <v>72</v>
      </c>
      <c r="H19" s="8" t="s">
        <v>73</v>
      </c>
      <c r="I19" s="8"/>
      <c r="J19" s="8"/>
      <c r="K19" s="8"/>
      <c r="L19" s="8"/>
    </row>
    <row r="20" customFormat="false" ht="60" hidden="false" customHeight="true" outlineLevel="0" collapsed="false">
      <c r="A20" s="7" t="n">
        <v>10</v>
      </c>
      <c r="B20" s="7" t="s">
        <v>74</v>
      </c>
      <c r="C20" s="8" t="s">
        <v>24</v>
      </c>
      <c r="D20" s="8" t="s">
        <v>75</v>
      </c>
      <c r="E20" s="8" t="s">
        <v>38</v>
      </c>
      <c r="F20" s="8" t="s">
        <v>76</v>
      </c>
      <c r="G20" s="8" t="s">
        <v>77</v>
      </c>
      <c r="H20" s="8" t="s">
        <v>78</v>
      </c>
      <c r="I20" s="8"/>
      <c r="J20" s="8"/>
      <c r="K20" s="8"/>
      <c r="L20" s="8"/>
    </row>
    <row r="21" customFormat="false" ht="60" hidden="false" customHeight="true" outlineLevel="0" collapsed="false">
      <c r="A21" s="7" t="n">
        <v>11</v>
      </c>
      <c r="B21" s="7" t="s">
        <v>79</v>
      </c>
      <c r="C21" s="8" t="s">
        <v>24</v>
      </c>
      <c r="D21" s="8" t="s">
        <v>80</v>
      </c>
      <c r="E21" s="8" t="s">
        <v>81</v>
      </c>
      <c r="F21" s="8" t="s">
        <v>82</v>
      </c>
      <c r="G21" s="8" t="s">
        <v>83</v>
      </c>
      <c r="H21" s="8" t="s">
        <v>84</v>
      </c>
      <c r="I21" s="8"/>
      <c r="J21" s="8"/>
      <c r="K21" s="8"/>
      <c r="L21" s="8"/>
    </row>
    <row r="22" customFormat="false" ht="60" hidden="false" customHeight="true" outlineLevel="0" collapsed="false">
      <c r="A22" s="7" t="n">
        <v>12</v>
      </c>
      <c r="B22" s="7" t="s">
        <v>85</v>
      </c>
      <c r="C22" s="8" t="s">
        <v>24</v>
      </c>
      <c r="D22" s="8" t="s">
        <v>86</v>
      </c>
      <c r="E22" s="8" t="s">
        <v>87</v>
      </c>
      <c r="F22" s="8" t="s">
        <v>88</v>
      </c>
      <c r="G22" s="8" t="s">
        <v>89</v>
      </c>
      <c r="H22" s="8" t="s">
        <v>90</v>
      </c>
      <c r="I22" s="8"/>
      <c r="J22" s="8"/>
      <c r="K22" s="8"/>
      <c r="L22" s="8"/>
    </row>
    <row r="23" customFormat="false" ht="60" hidden="false" customHeight="true" outlineLevel="0" collapsed="false">
      <c r="A23" s="7" t="n">
        <v>13</v>
      </c>
      <c r="B23" s="7" t="s">
        <v>91</v>
      </c>
      <c r="C23" s="8" t="s">
        <v>92</v>
      </c>
      <c r="D23" s="8" t="s">
        <v>93</v>
      </c>
      <c r="E23" s="8" t="s">
        <v>94</v>
      </c>
      <c r="F23" s="8" t="s">
        <v>95</v>
      </c>
      <c r="G23" s="8" t="s">
        <v>96</v>
      </c>
      <c r="H23" s="8" t="s">
        <v>97</v>
      </c>
      <c r="I23" s="8"/>
      <c r="J23" s="8"/>
      <c r="K23" s="8"/>
      <c r="L23" s="8"/>
    </row>
    <row r="24" customFormat="false" ht="60" hidden="false" customHeight="true" outlineLevel="0" collapsed="false">
      <c r="A24" s="7" t="n">
        <v>14</v>
      </c>
      <c r="B24" s="7" t="s">
        <v>98</v>
      </c>
      <c r="C24" s="8" t="s">
        <v>92</v>
      </c>
      <c r="D24" s="8" t="s">
        <v>99</v>
      </c>
      <c r="E24" s="8" t="s">
        <v>100</v>
      </c>
      <c r="F24" s="8" t="s">
        <v>101</v>
      </c>
      <c r="G24" s="8" t="s">
        <v>102</v>
      </c>
      <c r="H24" s="8" t="s">
        <v>103</v>
      </c>
      <c r="I24" s="8"/>
      <c r="J24" s="8"/>
      <c r="K24" s="8"/>
      <c r="L24" s="8"/>
    </row>
    <row r="25" customFormat="false" ht="60" hidden="false" customHeight="true" outlineLevel="0" collapsed="false">
      <c r="A25" s="7" t="n">
        <v>15</v>
      </c>
      <c r="B25" s="7" t="s">
        <v>104</v>
      </c>
      <c r="C25" s="8" t="s">
        <v>92</v>
      </c>
      <c r="D25" s="8" t="s">
        <v>105</v>
      </c>
      <c r="E25" s="8" t="s">
        <v>106</v>
      </c>
      <c r="F25" s="8" t="s">
        <v>107</v>
      </c>
      <c r="G25" s="8" t="s">
        <v>108</v>
      </c>
      <c r="H25" s="8" t="s">
        <v>109</v>
      </c>
      <c r="I25" s="8"/>
      <c r="J25" s="8"/>
      <c r="K25" s="8"/>
      <c r="L25" s="8"/>
    </row>
    <row r="26" customFormat="false" ht="60" hidden="false" customHeight="true" outlineLevel="0" collapsed="false">
      <c r="A26" s="7" t="n">
        <v>16</v>
      </c>
      <c r="B26" s="7" t="s">
        <v>110</v>
      </c>
      <c r="C26" s="8" t="s">
        <v>111</v>
      </c>
      <c r="D26" s="8" t="s">
        <v>112</v>
      </c>
      <c r="E26" s="8" t="s">
        <v>113</v>
      </c>
      <c r="F26" s="8" t="s">
        <v>114</v>
      </c>
      <c r="G26" s="8" t="s">
        <v>38</v>
      </c>
      <c r="H26" s="8" t="s">
        <v>115</v>
      </c>
      <c r="I26" s="8"/>
      <c r="J26" s="8"/>
      <c r="K26" s="8"/>
      <c r="L26" s="8"/>
    </row>
    <row r="27" customFormat="false" ht="60" hidden="false" customHeight="true" outlineLevel="0" collapsed="false">
      <c r="A27" s="7" t="n">
        <v>17</v>
      </c>
      <c r="B27" s="7" t="s">
        <v>116</v>
      </c>
      <c r="C27" s="8" t="s">
        <v>111</v>
      </c>
      <c r="D27" s="8" t="s">
        <v>117</v>
      </c>
      <c r="E27" s="8" t="s">
        <v>113</v>
      </c>
      <c r="F27" s="8" t="s">
        <v>118</v>
      </c>
      <c r="G27" s="8" t="s">
        <v>38</v>
      </c>
      <c r="H27" s="8" t="s">
        <v>119</v>
      </c>
      <c r="I27" s="8"/>
      <c r="J27" s="8"/>
      <c r="K27" s="8"/>
      <c r="L27" s="8"/>
    </row>
    <row r="28" customFormat="false" ht="15" hidden="false" customHeight="true" outlineLevel="0" collapsed="false">
      <c r="A28" s="6" t="s">
        <v>120</v>
      </c>
      <c r="B28" s="6"/>
      <c r="C28" s="6"/>
      <c r="D28" s="6"/>
      <c r="E28" s="6"/>
      <c r="F28" s="6"/>
      <c r="G28" s="6"/>
      <c r="H28" s="6"/>
      <c r="I28" s="6"/>
      <c r="J28" s="6"/>
      <c r="K28" s="6"/>
      <c r="L28" s="6"/>
    </row>
    <row r="29" customFormat="false" ht="60" hidden="false" customHeight="true" outlineLevel="0" collapsed="false">
      <c r="A29" s="7" t="n">
        <v>18</v>
      </c>
      <c r="B29" s="7" t="s">
        <v>121</v>
      </c>
      <c r="C29" s="8" t="s">
        <v>122</v>
      </c>
      <c r="D29" s="8" t="s">
        <v>123</v>
      </c>
      <c r="E29" s="8" t="s">
        <v>124</v>
      </c>
      <c r="F29" s="8" t="s">
        <v>125</v>
      </c>
      <c r="G29" s="8" t="s">
        <v>126</v>
      </c>
      <c r="H29" s="8" t="s">
        <v>127</v>
      </c>
      <c r="I29" s="8"/>
      <c r="J29" s="8"/>
      <c r="K29" s="8"/>
      <c r="L29" s="8"/>
    </row>
    <row r="30" customFormat="false" ht="60" hidden="false" customHeight="true" outlineLevel="0" collapsed="false">
      <c r="A30" s="7" t="n">
        <v>19</v>
      </c>
      <c r="B30" s="7" t="s">
        <v>128</v>
      </c>
      <c r="C30" s="8" t="s">
        <v>122</v>
      </c>
      <c r="D30" s="8" t="s">
        <v>129</v>
      </c>
      <c r="E30" s="8" t="s">
        <v>124</v>
      </c>
      <c r="F30" s="8" t="s">
        <v>130</v>
      </c>
      <c r="G30" s="8" t="s">
        <v>131</v>
      </c>
      <c r="H30" s="8" t="s">
        <v>132</v>
      </c>
      <c r="I30" s="8"/>
      <c r="J30" s="8"/>
      <c r="K30" s="8"/>
      <c r="L30" s="8"/>
    </row>
    <row r="31" customFormat="false" ht="60" hidden="false" customHeight="true" outlineLevel="0" collapsed="false">
      <c r="A31" s="7" t="n">
        <v>20</v>
      </c>
      <c r="B31" s="7" t="s">
        <v>133</v>
      </c>
      <c r="C31" s="8" t="s">
        <v>122</v>
      </c>
      <c r="D31" s="8" t="s">
        <v>134</v>
      </c>
      <c r="E31" s="8" t="s">
        <v>135</v>
      </c>
      <c r="F31" s="8" t="s">
        <v>136</v>
      </c>
      <c r="G31" s="8" t="s">
        <v>137</v>
      </c>
      <c r="H31" s="8" t="s">
        <v>138</v>
      </c>
      <c r="I31" s="8"/>
      <c r="J31" s="8"/>
      <c r="K31" s="8"/>
      <c r="L31" s="8"/>
    </row>
    <row r="32" customFormat="false" ht="15" hidden="false" customHeight="true" outlineLevel="0" collapsed="false">
      <c r="A32" s="6" t="s">
        <v>139</v>
      </c>
      <c r="B32" s="6"/>
      <c r="C32" s="6"/>
      <c r="D32" s="6"/>
      <c r="E32" s="6"/>
      <c r="F32" s="6"/>
      <c r="G32" s="6"/>
      <c r="H32" s="6"/>
      <c r="I32" s="6"/>
      <c r="J32" s="6"/>
      <c r="K32" s="6"/>
      <c r="L32" s="6"/>
    </row>
    <row r="33" customFormat="false" ht="60" hidden="false" customHeight="true" outlineLevel="0" collapsed="false">
      <c r="A33" s="7" t="n">
        <v>21</v>
      </c>
      <c r="B33" s="7" t="s">
        <v>140</v>
      </c>
      <c r="C33" s="8" t="s">
        <v>141</v>
      </c>
      <c r="D33" s="8" t="s">
        <v>142</v>
      </c>
      <c r="E33" s="8" t="s">
        <v>38</v>
      </c>
      <c r="F33" s="8" t="s">
        <v>143</v>
      </c>
      <c r="G33" s="8" t="s">
        <v>144</v>
      </c>
      <c r="H33" s="8" t="s">
        <v>145</v>
      </c>
      <c r="I33" s="8"/>
      <c r="J33" s="8"/>
      <c r="K33" s="8"/>
      <c r="L33" s="8"/>
    </row>
    <row r="34" customFormat="false" ht="60" hidden="false" customHeight="true" outlineLevel="0" collapsed="false">
      <c r="A34" s="7" t="n">
        <v>22</v>
      </c>
      <c r="B34" s="7" t="s">
        <v>146</v>
      </c>
      <c r="C34" s="8" t="s">
        <v>141</v>
      </c>
      <c r="D34" s="8" t="s">
        <v>147</v>
      </c>
      <c r="E34" s="8" t="s">
        <v>38</v>
      </c>
      <c r="F34" s="8" t="s">
        <v>148</v>
      </c>
      <c r="G34" s="8" t="s">
        <v>149</v>
      </c>
      <c r="H34" s="8" t="s">
        <v>150</v>
      </c>
      <c r="I34" s="8"/>
      <c r="J34" s="8"/>
      <c r="K34" s="8"/>
      <c r="L34" s="8"/>
    </row>
    <row r="35" customFormat="false" ht="60" hidden="false" customHeight="true" outlineLevel="0" collapsed="false">
      <c r="A35" s="7" t="n">
        <v>23</v>
      </c>
      <c r="B35" s="7" t="s">
        <v>151</v>
      </c>
      <c r="C35" s="8" t="s">
        <v>141</v>
      </c>
      <c r="D35" s="8" t="s">
        <v>152</v>
      </c>
      <c r="E35" s="8" t="s">
        <v>38</v>
      </c>
      <c r="F35" s="8" t="s">
        <v>153</v>
      </c>
      <c r="G35" s="8" t="s">
        <v>154</v>
      </c>
      <c r="H35" s="8" t="s">
        <v>155</v>
      </c>
      <c r="I35" s="8"/>
      <c r="J35" s="8"/>
      <c r="K35" s="8"/>
      <c r="L35" s="8"/>
    </row>
    <row r="36" customFormat="false" ht="60" hidden="false" customHeight="true" outlineLevel="0" collapsed="false">
      <c r="A36" s="7" t="n">
        <v>24</v>
      </c>
      <c r="B36" s="7" t="s">
        <v>156</v>
      </c>
      <c r="C36" s="8" t="s">
        <v>141</v>
      </c>
      <c r="D36" s="8" t="s">
        <v>157</v>
      </c>
      <c r="E36" s="8" t="s">
        <v>38</v>
      </c>
      <c r="F36" s="8" t="s">
        <v>158</v>
      </c>
      <c r="G36" s="8" t="s">
        <v>159</v>
      </c>
      <c r="H36" s="8" t="s">
        <v>160</v>
      </c>
      <c r="I36" s="8"/>
      <c r="J36" s="8"/>
      <c r="K36" s="8"/>
      <c r="L36" s="8"/>
    </row>
    <row r="37" customFormat="false" ht="60" hidden="false" customHeight="true" outlineLevel="0" collapsed="false">
      <c r="A37" s="7" t="n">
        <v>25</v>
      </c>
      <c r="B37" s="7" t="s">
        <v>161</v>
      </c>
      <c r="C37" s="8" t="s">
        <v>141</v>
      </c>
      <c r="D37" s="8" t="s">
        <v>162</v>
      </c>
      <c r="E37" s="8" t="s">
        <v>38</v>
      </c>
      <c r="F37" s="8" t="s">
        <v>163</v>
      </c>
      <c r="G37" s="8" t="s">
        <v>164</v>
      </c>
      <c r="H37" s="8" t="s">
        <v>165</v>
      </c>
      <c r="I37" s="8"/>
      <c r="J37" s="8"/>
      <c r="K37" s="8"/>
      <c r="L37" s="8"/>
    </row>
    <row r="38" customFormat="false" ht="60" hidden="false" customHeight="true" outlineLevel="0" collapsed="false">
      <c r="A38" s="7" t="n">
        <v>26</v>
      </c>
      <c r="B38" s="7" t="s">
        <v>166</v>
      </c>
      <c r="C38" s="8" t="s">
        <v>141</v>
      </c>
      <c r="D38" s="8" t="s">
        <v>167</v>
      </c>
      <c r="E38" s="8" t="s">
        <v>38</v>
      </c>
      <c r="F38" s="8" t="s">
        <v>168</v>
      </c>
      <c r="G38" s="8" t="s">
        <v>169</v>
      </c>
      <c r="H38" s="8" t="s">
        <v>170</v>
      </c>
      <c r="I38" s="8"/>
      <c r="J38" s="8"/>
      <c r="K38" s="8"/>
      <c r="L38" s="8"/>
    </row>
    <row r="39" customFormat="false" ht="15" hidden="false" customHeight="true" outlineLevel="0" collapsed="false">
      <c r="A39" s="6" t="s">
        <v>171</v>
      </c>
      <c r="B39" s="6"/>
      <c r="C39" s="6"/>
      <c r="D39" s="6"/>
      <c r="E39" s="6"/>
      <c r="F39" s="6"/>
      <c r="G39" s="6"/>
      <c r="H39" s="6"/>
      <c r="I39" s="6"/>
      <c r="J39" s="6"/>
      <c r="K39" s="6"/>
      <c r="L39" s="6"/>
    </row>
    <row r="40" customFormat="false" ht="60" hidden="false" customHeight="true" outlineLevel="0" collapsed="false">
      <c r="A40" s="7" t="n">
        <v>27</v>
      </c>
      <c r="B40" s="7" t="s">
        <v>172</v>
      </c>
      <c r="C40" s="8" t="s">
        <v>173</v>
      </c>
      <c r="D40" s="8" t="s">
        <v>174</v>
      </c>
      <c r="E40" s="8" t="s">
        <v>175</v>
      </c>
      <c r="F40" s="8" t="s">
        <v>176</v>
      </c>
      <c r="G40" s="8" t="s">
        <v>38</v>
      </c>
      <c r="H40" s="8" t="s">
        <v>177</v>
      </c>
      <c r="I40" s="8"/>
      <c r="J40" s="8"/>
      <c r="K40" s="8"/>
      <c r="L40" s="8"/>
    </row>
    <row r="41" customFormat="false" ht="60" hidden="false" customHeight="true" outlineLevel="0" collapsed="false">
      <c r="A41" s="7" t="n">
        <v>28</v>
      </c>
      <c r="B41" s="7" t="s">
        <v>178</v>
      </c>
      <c r="C41" s="8" t="s">
        <v>173</v>
      </c>
      <c r="D41" s="8" t="s">
        <v>179</v>
      </c>
      <c r="E41" s="8" t="s">
        <v>180</v>
      </c>
      <c r="F41" s="8" t="s">
        <v>181</v>
      </c>
      <c r="G41" s="8" t="s">
        <v>182</v>
      </c>
      <c r="H41" s="8" t="s">
        <v>183</v>
      </c>
      <c r="I41" s="8"/>
      <c r="J41" s="8"/>
      <c r="K41" s="8"/>
      <c r="L41" s="8"/>
    </row>
    <row r="42" customFormat="false" ht="60" hidden="false" customHeight="true" outlineLevel="0" collapsed="false">
      <c r="A42" s="7" t="n">
        <v>29</v>
      </c>
      <c r="B42" s="7" t="s">
        <v>184</v>
      </c>
      <c r="C42" s="8" t="s">
        <v>173</v>
      </c>
      <c r="D42" s="8" t="s">
        <v>185</v>
      </c>
      <c r="E42" s="8" t="s">
        <v>186</v>
      </c>
      <c r="F42" s="8" t="s">
        <v>187</v>
      </c>
      <c r="G42" s="8" t="s">
        <v>188</v>
      </c>
      <c r="H42" s="8" t="s">
        <v>189</v>
      </c>
      <c r="I42" s="8"/>
      <c r="J42" s="8"/>
      <c r="K42" s="8"/>
      <c r="L42" s="8"/>
    </row>
    <row r="43" customFormat="false" ht="15" hidden="false" customHeight="true" outlineLevel="0" collapsed="false">
      <c r="A43" s="6" t="s">
        <v>190</v>
      </c>
      <c r="B43" s="6"/>
      <c r="C43" s="6"/>
      <c r="D43" s="6"/>
      <c r="E43" s="6"/>
      <c r="F43" s="6"/>
      <c r="G43" s="6"/>
      <c r="H43" s="6"/>
      <c r="I43" s="6"/>
      <c r="J43" s="6"/>
      <c r="K43" s="6"/>
      <c r="L43" s="6"/>
    </row>
    <row r="44" customFormat="false" ht="60" hidden="false" customHeight="true" outlineLevel="0" collapsed="false">
      <c r="A44" s="7" t="n">
        <v>30</v>
      </c>
      <c r="B44" s="7" t="s">
        <v>191</v>
      </c>
      <c r="C44" s="8" t="s">
        <v>192</v>
      </c>
      <c r="D44" s="8" t="s">
        <v>193</v>
      </c>
      <c r="E44" s="8" t="s">
        <v>38</v>
      </c>
      <c r="F44" s="8" t="s">
        <v>194</v>
      </c>
      <c r="G44" s="8" t="s">
        <v>195</v>
      </c>
      <c r="H44" s="8" t="s">
        <v>196</v>
      </c>
      <c r="I44" s="8"/>
      <c r="J44" s="8"/>
      <c r="K44" s="8"/>
      <c r="L44" s="8"/>
    </row>
    <row r="45" customFormat="false" ht="60" hidden="false" customHeight="true" outlineLevel="0" collapsed="false">
      <c r="A45" s="7" t="n">
        <v>31</v>
      </c>
      <c r="B45" s="7" t="s">
        <v>197</v>
      </c>
      <c r="C45" s="8" t="s">
        <v>192</v>
      </c>
      <c r="D45" s="8" t="s">
        <v>198</v>
      </c>
      <c r="E45" s="8" t="s">
        <v>38</v>
      </c>
      <c r="F45" s="8" t="s">
        <v>199</v>
      </c>
      <c r="G45" s="8" t="s">
        <v>200</v>
      </c>
      <c r="H45" s="8" t="s">
        <v>201</v>
      </c>
      <c r="I45" s="8"/>
      <c r="J45" s="8"/>
      <c r="K45" s="8"/>
      <c r="L45" s="8"/>
    </row>
    <row r="46" customFormat="false" ht="60" hidden="false" customHeight="true" outlineLevel="0" collapsed="false">
      <c r="A46" s="7" t="n">
        <v>32</v>
      </c>
      <c r="B46" s="7" t="s">
        <v>202</v>
      </c>
      <c r="C46" s="8" t="s">
        <v>192</v>
      </c>
      <c r="D46" s="8" t="s">
        <v>203</v>
      </c>
      <c r="E46" s="8" t="s">
        <v>38</v>
      </c>
      <c r="F46" s="8" t="s">
        <v>204</v>
      </c>
      <c r="G46" s="8" t="s">
        <v>205</v>
      </c>
      <c r="H46" s="8" t="s">
        <v>206</v>
      </c>
      <c r="I46" s="8"/>
      <c r="J46" s="8"/>
      <c r="K46" s="8"/>
      <c r="L46" s="8"/>
    </row>
    <row r="47" customFormat="false" ht="60" hidden="false" customHeight="true" outlineLevel="0" collapsed="false">
      <c r="A47" s="7" t="n">
        <v>33</v>
      </c>
      <c r="B47" s="7" t="s">
        <v>207</v>
      </c>
      <c r="C47" s="8" t="s">
        <v>192</v>
      </c>
      <c r="D47" s="8" t="s">
        <v>208</v>
      </c>
      <c r="E47" s="8" t="s">
        <v>38</v>
      </c>
      <c r="F47" s="8" t="s">
        <v>209</v>
      </c>
      <c r="G47" s="8" t="s">
        <v>210</v>
      </c>
      <c r="H47" s="8" t="s">
        <v>211</v>
      </c>
      <c r="I47" s="8"/>
      <c r="J47" s="8"/>
      <c r="K47" s="8"/>
      <c r="L47" s="8"/>
    </row>
    <row r="48" customFormat="false" ht="60" hidden="false" customHeight="true" outlineLevel="0" collapsed="false">
      <c r="A48" s="7" t="n">
        <v>34</v>
      </c>
      <c r="B48" s="7" t="s">
        <v>212</v>
      </c>
      <c r="C48" s="8" t="s">
        <v>192</v>
      </c>
      <c r="D48" s="8" t="s">
        <v>213</v>
      </c>
      <c r="E48" s="8" t="s">
        <v>214</v>
      </c>
      <c r="F48" s="8" t="s">
        <v>215</v>
      </c>
      <c r="G48" s="8" t="s">
        <v>216</v>
      </c>
      <c r="H48" s="8" t="s">
        <v>217</v>
      </c>
      <c r="I48" s="8"/>
      <c r="J48" s="8"/>
      <c r="K48" s="8"/>
      <c r="L48" s="8"/>
    </row>
    <row r="49" customFormat="false" ht="60" hidden="false" customHeight="true" outlineLevel="0" collapsed="false">
      <c r="A49" s="7" t="n">
        <v>35</v>
      </c>
      <c r="B49" s="7" t="s">
        <v>218</v>
      </c>
      <c r="C49" s="8" t="s">
        <v>192</v>
      </c>
      <c r="D49" s="8" t="s">
        <v>219</v>
      </c>
      <c r="E49" s="8" t="s">
        <v>220</v>
      </c>
      <c r="F49" s="8" t="s">
        <v>221</v>
      </c>
      <c r="G49" s="8" t="s">
        <v>222</v>
      </c>
      <c r="H49" s="8" t="s">
        <v>223</v>
      </c>
      <c r="I49" s="8"/>
      <c r="J49" s="8"/>
      <c r="K49" s="8"/>
      <c r="L49" s="8"/>
    </row>
    <row r="50" customFormat="false" ht="60" hidden="false" customHeight="true" outlineLevel="0" collapsed="false">
      <c r="A50" s="7" t="n">
        <v>36</v>
      </c>
      <c r="B50" s="7" t="s">
        <v>224</v>
      </c>
      <c r="C50" s="8" t="s">
        <v>192</v>
      </c>
      <c r="D50" s="8" t="s">
        <v>225</v>
      </c>
      <c r="E50" s="8" t="s">
        <v>226</v>
      </c>
      <c r="F50" s="8" t="s">
        <v>227</v>
      </c>
      <c r="G50" s="8" t="s">
        <v>38</v>
      </c>
      <c r="H50" s="8" t="s">
        <v>228</v>
      </c>
      <c r="I50" s="8"/>
      <c r="J50" s="8"/>
      <c r="K50" s="8"/>
      <c r="L50" s="8"/>
    </row>
    <row r="51" customFormat="false" ht="60" hidden="false" customHeight="true" outlineLevel="0" collapsed="false">
      <c r="A51" s="7" t="n">
        <v>37</v>
      </c>
      <c r="B51" s="7" t="s">
        <v>229</v>
      </c>
      <c r="C51" s="8" t="s">
        <v>192</v>
      </c>
      <c r="D51" s="8" t="s">
        <v>230</v>
      </c>
      <c r="E51" s="8" t="s">
        <v>38</v>
      </c>
      <c r="F51" s="8" t="s">
        <v>231</v>
      </c>
      <c r="G51" s="8" t="s">
        <v>38</v>
      </c>
      <c r="H51" s="8" t="s">
        <v>232</v>
      </c>
      <c r="I51" s="8"/>
      <c r="J51" s="8"/>
      <c r="K51" s="8"/>
      <c r="L51" s="8"/>
    </row>
    <row r="52" customFormat="false" ht="15" hidden="false" customHeight="true" outlineLevel="0" collapsed="false">
      <c r="A52" s="6" t="s">
        <v>233</v>
      </c>
      <c r="B52" s="6"/>
      <c r="C52" s="6"/>
      <c r="D52" s="6"/>
      <c r="E52" s="6"/>
      <c r="F52" s="6"/>
      <c r="G52" s="6"/>
      <c r="H52" s="6"/>
      <c r="I52" s="6"/>
      <c r="J52" s="6"/>
      <c r="K52" s="6"/>
      <c r="L52" s="6"/>
    </row>
    <row r="53" customFormat="false" ht="60" hidden="false" customHeight="true" outlineLevel="0" collapsed="false">
      <c r="A53" s="7" t="n">
        <v>38</v>
      </c>
      <c r="B53" s="7" t="s">
        <v>234</v>
      </c>
      <c r="C53" s="8" t="s">
        <v>235</v>
      </c>
      <c r="D53" s="8" t="s">
        <v>236</v>
      </c>
      <c r="E53" s="8" t="s">
        <v>237</v>
      </c>
      <c r="F53" s="8" t="s">
        <v>238</v>
      </c>
      <c r="G53" s="8" t="s">
        <v>38</v>
      </c>
      <c r="H53" s="8" t="s">
        <v>239</v>
      </c>
      <c r="I53" s="8"/>
      <c r="J53" s="8"/>
      <c r="K53" s="8"/>
      <c r="L53" s="8"/>
    </row>
    <row r="54" customFormat="false" ht="60" hidden="false" customHeight="true" outlineLevel="0" collapsed="false">
      <c r="A54" s="7" t="n">
        <v>39</v>
      </c>
      <c r="B54" s="7" t="s">
        <v>240</v>
      </c>
      <c r="C54" s="8" t="s">
        <v>241</v>
      </c>
      <c r="D54" s="8" t="s">
        <v>242</v>
      </c>
      <c r="E54" s="8" t="s">
        <v>243</v>
      </c>
      <c r="F54" s="8" t="s">
        <v>244</v>
      </c>
      <c r="G54" s="8" t="s">
        <v>38</v>
      </c>
      <c r="H54" s="8" t="s">
        <v>245</v>
      </c>
      <c r="I54" s="8"/>
      <c r="J54" s="8"/>
      <c r="K54" s="8"/>
      <c r="L54" s="8"/>
    </row>
    <row r="55" customFormat="false" ht="60" hidden="false" customHeight="true" outlineLevel="0" collapsed="false">
      <c r="A55" s="7" t="n">
        <v>40</v>
      </c>
      <c r="B55" s="7" t="s">
        <v>246</v>
      </c>
      <c r="C55" s="8" t="s">
        <v>247</v>
      </c>
      <c r="D55" s="8" t="s">
        <v>248</v>
      </c>
      <c r="E55" s="8" t="s">
        <v>38</v>
      </c>
      <c r="F55" s="8" t="s">
        <v>249</v>
      </c>
      <c r="G55" s="8" t="s">
        <v>38</v>
      </c>
      <c r="H55" s="8" t="s">
        <v>250</v>
      </c>
      <c r="I55" s="8"/>
      <c r="J55" s="8"/>
      <c r="K55" s="8"/>
      <c r="L55" s="8"/>
    </row>
    <row r="56" customFormat="false" ht="60" hidden="false" customHeight="true" outlineLevel="0" collapsed="false">
      <c r="A56" s="7" t="n">
        <v>41</v>
      </c>
      <c r="B56" s="7" t="s">
        <v>251</v>
      </c>
      <c r="C56" s="8" t="s">
        <v>252</v>
      </c>
      <c r="D56" s="8" t="s">
        <v>253</v>
      </c>
      <c r="E56" s="8" t="s">
        <v>38</v>
      </c>
      <c r="F56" s="8" t="s">
        <v>254</v>
      </c>
      <c r="G56" s="8" t="s">
        <v>255</v>
      </c>
      <c r="H56" s="8" t="s">
        <v>256</v>
      </c>
      <c r="I56" s="8"/>
      <c r="J56" s="8"/>
      <c r="K56" s="8"/>
      <c r="L56" s="8"/>
    </row>
    <row r="57" customFormat="false" ht="60" hidden="false" customHeight="true" outlineLevel="0" collapsed="false">
      <c r="A57" s="7" t="n">
        <v>42</v>
      </c>
      <c r="B57" s="7" t="s">
        <v>257</v>
      </c>
      <c r="C57" s="8" t="s">
        <v>235</v>
      </c>
      <c r="D57" s="8" t="s">
        <v>258</v>
      </c>
      <c r="E57" s="8" t="s">
        <v>259</v>
      </c>
      <c r="F57" s="8" t="s">
        <v>260</v>
      </c>
      <c r="G57" s="8" t="s">
        <v>38</v>
      </c>
      <c r="H57" s="8" t="s">
        <v>261</v>
      </c>
      <c r="I57" s="8"/>
      <c r="J57" s="8"/>
      <c r="K57" s="8"/>
      <c r="L57" s="8"/>
    </row>
    <row r="59" customFormat="false" ht="15" hidden="false" customHeight="true" outlineLevel="0" collapsed="false">
      <c r="A59" s="9" t="s">
        <v>262</v>
      </c>
      <c r="B59" s="9"/>
      <c r="C59" s="9"/>
      <c r="D59" s="9"/>
      <c r="E59" s="9"/>
      <c r="F59" s="9"/>
      <c r="G59" s="9"/>
      <c r="H59" s="9"/>
      <c r="I59" s="9"/>
      <c r="J59" s="9"/>
      <c r="K59" s="9"/>
      <c r="L59" s="9"/>
    </row>
    <row r="60" customFormat="false" ht="15" hidden="false" customHeight="true" outlineLevel="0" collapsed="false">
      <c r="A60" s="3" t="s">
        <v>263</v>
      </c>
      <c r="B60" s="3"/>
      <c r="C60" s="3"/>
      <c r="D60" s="3"/>
      <c r="E60" s="3"/>
      <c r="F60" s="3"/>
      <c r="G60" s="3"/>
      <c r="H60" s="3"/>
      <c r="I60" s="3"/>
      <c r="J60" s="3"/>
      <c r="K60" s="3"/>
      <c r="L60" s="10" t="n">
        <f aca="false">COUNTIF(B10:B57,"TC-*")</f>
        <v>42</v>
      </c>
    </row>
    <row r="61" customFormat="false" ht="15" hidden="false" customHeight="true" outlineLevel="0" collapsed="false">
      <c r="A61" s="3" t="s">
        <v>264</v>
      </c>
      <c r="B61" s="3"/>
      <c r="C61" s="3"/>
      <c r="D61" s="3"/>
      <c r="E61" s="3"/>
      <c r="F61" s="3"/>
      <c r="G61" s="3"/>
      <c r="H61" s="3"/>
      <c r="I61" s="3"/>
      <c r="J61" s="3"/>
      <c r="K61" s="3"/>
      <c r="L61" s="10" t="n">
        <f aca="false">COUNTIF(J10:J57,"Pass")</f>
        <v>0</v>
      </c>
    </row>
    <row r="62" customFormat="false" ht="15" hidden="false" customHeight="true" outlineLevel="0" collapsed="false">
      <c r="A62" s="3" t="s">
        <v>265</v>
      </c>
      <c r="B62" s="3"/>
      <c r="C62" s="3"/>
      <c r="D62" s="3"/>
      <c r="E62" s="3"/>
      <c r="F62" s="3"/>
      <c r="G62" s="3"/>
      <c r="H62" s="3"/>
      <c r="I62" s="3"/>
      <c r="J62" s="3"/>
      <c r="K62" s="3"/>
      <c r="L62" s="10" t="n">
        <f aca="false">COUNTIF(J10:J57,"Fail")</f>
        <v>0</v>
      </c>
    </row>
    <row r="63" customFormat="false" ht="15" hidden="false" customHeight="true" outlineLevel="0" collapsed="false">
      <c r="A63" s="3" t="s">
        <v>266</v>
      </c>
      <c r="B63" s="3"/>
      <c r="C63" s="3"/>
      <c r="D63" s="3"/>
      <c r="E63" s="3"/>
      <c r="F63" s="3"/>
      <c r="G63" s="3"/>
      <c r="H63" s="3"/>
      <c r="I63" s="3"/>
      <c r="J63" s="3"/>
      <c r="K63" s="3"/>
      <c r="L63" s="10" t="str">
        <f aca="false">IFERROR(ROUND(L61/L60*100,1),0)&amp;"%"</f>
        <v>0%</v>
      </c>
    </row>
  </sheetData>
  <mergeCells count="17">
    <mergeCell ref="A1:L1"/>
    <mergeCell ref="A2:L2"/>
    <mergeCell ref="B4:L4"/>
    <mergeCell ref="B5:L5"/>
    <mergeCell ref="B6:L6"/>
    <mergeCell ref="B7:L7"/>
    <mergeCell ref="A10:L10"/>
    <mergeCell ref="A28:L28"/>
    <mergeCell ref="A32:L32"/>
    <mergeCell ref="A39:L39"/>
    <mergeCell ref="A43:L43"/>
    <mergeCell ref="A52:L52"/>
    <mergeCell ref="A59:L59"/>
    <mergeCell ref="A60:K60"/>
    <mergeCell ref="A61:K61"/>
    <mergeCell ref="A62:K62"/>
    <mergeCell ref="A63:K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1" t="s">
        <v>267</v>
      </c>
    </row>
    <row r="2" customFormat="false" ht="15" hidden="false" customHeight="false" outlineLevel="0" collapsed="false">
      <c r="A2" s="12"/>
    </row>
    <row r="3" customFormat="false" ht="39.55" hidden="false" customHeight="false" outlineLevel="0" collapsed="false">
      <c r="A3" s="12" t="s">
        <v>268</v>
      </c>
    </row>
    <row r="4" customFormat="false" ht="15" hidden="false" customHeight="false" outlineLevel="0" collapsed="false">
      <c r="A4" s="12" t="s">
        <v>269</v>
      </c>
    </row>
    <row r="5" customFormat="false" ht="15" hidden="false" customHeight="false" outlineLevel="0" collapsed="false">
      <c r="A5" s="12" t="s">
        <v>270</v>
      </c>
    </row>
    <row r="6" customFormat="false" ht="15" hidden="false" customHeight="false" outlineLevel="0" collapsed="false">
      <c r="A6" s="12" t="s">
        <v>271</v>
      </c>
    </row>
    <row r="7" customFormat="false" ht="15" hidden="false" customHeight="false" outlineLevel="0" collapsed="false">
      <c r="A7" s="12" t="s">
        <v>272</v>
      </c>
    </row>
    <row r="8" customFormat="false" ht="15" hidden="false" customHeight="false" outlineLevel="0" collapsed="false">
      <c r="A8" s="12" t="s">
        <v>273</v>
      </c>
    </row>
    <row r="9" customFormat="false" ht="39.55" hidden="false" customHeight="false" outlineLevel="0" collapsed="false">
      <c r="A9" s="12" t="s">
        <v>274</v>
      </c>
    </row>
    <row r="10" customFormat="false" ht="26.85" hidden="false" customHeight="false" outlineLevel="0" collapsed="false">
      <c r="A10" s="12" t="s">
        <v>275</v>
      </c>
    </row>
    <row r="11" customFormat="false" ht="15" hidden="false" customHeight="false" outlineLevel="0" collapsed="false">
      <c r="A11" s="12"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2026-07-12T00:46:14Z</dcterms:created>
  <dc:creator>openpyxl</dc:creator>
  <dc:description/>
  <dc:language>en-US</dc:language>
  <cp:lastModifiedBy/>
  <dcterms:modified xsi:type="dcterms:W3CDTF">2026-07-12T00:46:14Z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